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spondent Log" sheetId="2" state="visible" r:id="rId4"/>
    <sheet name="Aggregate Summary" sheetId="3" state="visible" r:id="rId5"/>
  </sheets>
  <calcPr iterateCount="100" refMode="A1" iterate="false" iterateDelta="0.0001" fullCalcOnLoad="true"/>
  <extLst>
    <ext xmlns:loext="http://schemas.libreoffice.org/" uri="{7626C862-2A13-11E5-B345-FEFF819CDC9F}">
      <loext:extCalcPr stringRefSyntax="ExcelA1"/>
    </ext>
  </extLst>
</workbook>
</file>

<file path=xl/sharedStrings.xml><?xml version="1.0" encoding="utf-8"?>
<sst xmlns="http://schemas.openxmlformats.org/spreadsheetml/2006/main" count="88" uniqueCount="79">
  <si>
    <t xml:space="preserve">BAF Human-Subject Backtest — Administration Template</t>
  </si>
  <si>
    <t xml:space="preserve">Companion tracker for BAF_Questionnaire.docx, per Architecture Section 9.4's protocol</t>
  </si>
  <si>
    <t xml:space="preserve">PURPOSE</t>
  </si>
  <si>
    <t xml:space="preserve">This workbook logs real respondents' questionnaire answers against the BAF engine's scored output, so gaps between a person's own self-perception and the engine's score can be tracked across multiple people over time. This is a self-report consistency check, not a validation of predictive accuracy — no ground-truth dataset of real behavioral outcomes exists for this framework, and none is claimed here.</t>
  </si>
  <si>
    <t xml:space="preserve">CONSENT — read this to every respondent before they begin</t>
  </si>
  <si>
    <t xml:space="preserve">"This is a self-reflection questionnaire, not a psychological test, diagnosis, or assessment of any kind. Your answers will be scored by a rules-based heuristic algorithm, not a clinician. Participation is voluntary, you can skip any question or stop at any time, and your answers [will / will not — administrator to decide and state clearly] be kept anonymous. Do you consent to participate?"</t>
  </si>
  <si>
    <t xml:space="preserve">Log consent in the 'Respondent Log' sheet before recording any answers. If consent is declined, do not proceed.</t>
  </si>
  <si>
    <t xml:space="preserve">ADMINISTRATION STEPS</t>
  </si>
  <si>
    <t xml:space="preserve">1. Read the consent statement above and log the response.</t>
  </si>
  <si>
    <t xml:space="preserve">2. Respondent completes the 'Independent baseline rating' in BAF_Questionnaire.docx BEFORE seeing any engine output — this is the most important sequencing rule in the whole protocol. Rating early inflates agreement and defeats the point of the check.</t>
  </si>
  <si>
    <t xml:space="preserve">3. Respondent completes all 92 items (Section A of the questionnaire).</t>
  </si>
  <si>
    <t xml:space="preserve">4. Administrator enters the respondent's answers into BAF_Simulator_v6.html (Guided Mode, or Precision Mode + the JSON console for speed) and generates the final profile.</t>
  </si>
  <si>
    <t xml:space="preserve">5. Record both the baseline ratings and the engine's output in the 'Respondent Log' sheet below — the sheet computes the gap automatically.</t>
  </si>
  <si>
    <t xml:space="preserve">6. Do not coach, correct, or explain away a large gap to the respondent during the session — a large gap is a valid result, not an error to fix in the moment.</t>
  </si>
  <si>
    <t xml:space="preserve">HOW TO USE THE RESPONDENT LOG SHEET</t>
  </si>
  <si>
    <t xml:space="preserve">Yellow cells are the only ones to edit — enter Respondent ID, date, consent, the engine's reported completeness %, the respondent's six baseline 1-5 ratings, and the engine's six output values (from the final dashboard or the API's exact JSON output). Every other column computes automatically; do not type into them.</t>
  </si>
  <si>
    <t xml:space="preserve">Baseline ratings are collected on a 1-5 scale (per the questionnaire) and converted automatically to the engine's -2..+2 scale for comparison (formula: rating - 3).</t>
  </si>
  <si>
    <t xml:space="preserve">READING THE AGGREGATE SUMMARY SHEET</t>
  </si>
  <si>
    <t xml:space="preserve">Once several respondents are logged, the 'Aggregate Summary' sheet shows, per dimension: the signed average gap (kept for reference, but can be misleading), the mean absolute gap (the typical size of the miss, regardless of direction), the largest single gap, and how often the engine's direction disagreed with the person's own sense of themselves entirely. A dimension with a small signed average but a large mean |gap| and a high opposite-direction count is not fine -- it means people are being scored on the wrong side of neutral about as often as the right side, and the errors happen to cancel out in the average rather than indicating good calibration. That combination is the actionable signal this whole exercise is designed to surface. A small mean |gap| with few or no opposite-direction cases is expected self-report noise, not evidence of a problem.</t>
  </si>
  <si>
    <t xml:space="preserve">SCOPE REMINDER</t>
  </si>
  <si>
    <t xml:space="preserve">This process validates internal consistency and self-report correlation only. It does not and cannot validate the engine against objective, ground-truth behavioral outcomes. No physiognomic, demographic, or criminal-behavior data is collected anywhere in this process, consistent with the guardrails in BAF_Technical_Architecture.docx Section 6.</t>
  </si>
  <si>
    <t xml:space="preserve">An example row (Respondent ID 'EXAMPLE-001') is included in the Respondent Log to show the expected format — delete it before logging real data.</t>
  </si>
  <si>
    <t xml:space="preserve">Respondent Log — yellow cells are the only ones to edit; all other columns compute automatically</t>
  </si>
  <si>
    <t xml:space="preserve">Respondent ID</t>
  </si>
  <si>
    <t xml:space="preserve">Date</t>
  </si>
  <si>
    <t xml:space="preserve">Consent (Y/N)</t>
  </si>
  <si>
    <t xml:space="preserve">Engine Completeness %</t>
  </si>
  <si>
    <t xml:space="preserve">Baseline RT (1-5)</t>
  </si>
  <si>
    <t xml:space="preserve">Baseline SC (1-5)</t>
  </si>
  <si>
    <t xml:space="preserve">Baseline ER (1-5)</t>
  </si>
  <si>
    <t xml:space="preserve">Baseline AR (1-5)</t>
  </si>
  <si>
    <t xml:space="preserve">Baseline DS (1-5)</t>
  </si>
  <si>
    <t xml:space="preserve">Baseline SR (1-5)</t>
  </si>
  <si>
    <t xml:space="preserve">Baseline RT (-2..2)</t>
  </si>
  <si>
    <t xml:space="preserve">Baseline SC (-2..2)</t>
  </si>
  <si>
    <t xml:space="preserve">Baseline ER (-2..2)</t>
  </si>
  <si>
    <t xml:space="preserve">Baseline AR (-2..2)</t>
  </si>
  <si>
    <t xml:space="preserve">Baseline DS (-2..2)</t>
  </si>
  <si>
    <t xml:space="preserve">Baseline SR (-2..2)</t>
  </si>
  <si>
    <t xml:space="preserve">Engine RT</t>
  </si>
  <si>
    <t xml:space="preserve">Engine SC</t>
  </si>
  <si>
    <t xml:space="preserve">Engine ER</t>
  </si>
  <si>
    <t xml:space="preserve">Engine AR</t>
  </si>
  <si>
    <t xml:space="preserve">Engine DS</t>
  </si>
  <si>
    <t xml:space="preserve">Engine SR</t>
  </si>
  <si>
    <t xml:space="preserve">Gap RT</t>
  </si>
  <si>
    <t xml:space="preserve">Gap SC</t>
  </si>
  <si>
    <t xml:space="preserve">Gap ER</t>
  </si>
  <si>
    <t xml:space="preserve">Gap AR</t>
  </si>
  <si>
    <t xml:space="preserve">Gap DS</t>
  </si>
  <si>
    <t xml:space="preserve">Gap SR</t>
  </si>
  <si>
    <t xml:space="preserve">Notes</t>
  </si>
  <si>
    <t xml:space="preserve">R-ZE0C0M</t>
  </si>
  <si>
    <t xml:space="preserve">2026-07-15</t>
  </si>
  <si>
    <t xml:space="preserve">Y</t>
  </si>
  <si>
    <t xml:space="preserve">R-ZOI6F5</t>
  </si>
  <si>
    <t xml:space="preserve">R-8BA68W</t>
  </si>
  <si>
    <t xml:space="preserve">R-4AIAO5</t>
  </si>
  <si>
    <t xml:space="preserve">R-PXH5JW</t>
  </si>
  <si>
    <t xml:space="preserve">Aggregate Summary — auto-computed from Respondent Log</t>
  </si>
  <si>
    <t xml:space="preserve">Updates automatically as rows are added to Respondent Log (rows 4-22, example row excluded).</t>
  </si>
  <si>
    <t xml:space="preserve">Respondents logged (consented, excl. example)</t>
  </si>
  <si>
    <t xml:space="preserve">Dimension</t>
  </si>
  <si>
    <t xml:space="preserve">Avg Gap (signed)</t>
  </si>
  <si>
    <t xml:space="preserve">Mean |Gap|</t>
  </si>
  <si>
    <t xml:space="preserve">Max |Gap|</t>
  </si>
  <si>
    <t xml:space="preserve">Opposite-direction count</t>
  </si>
  <si>
    <t xml:space="preserve">N (answered)</t>
  </si>
  <si>
    <t xml:space="preserve">Flag</t>
  </si>
  <si>
    <t xml:space="preserve">RT — Risk Tolerance</t>
  </si>
  <si>
    <t xml:space="preserve">SC — Social Conformity</t>
  </si>
  <si>
    <t xml:space="preserve">ER — Emotional Reactivity</t>
  </si>
  <si>
    <t xml:space="preserve">AR — Authority Deference</t>
  </si>
  <si>
    <t xml:space="preserve">DS — Independent Decision-Making</t>
  </si>
  <si>
    <t xml:space="preserve">SR — Stress Resilience</t>
  </si>
  <si>
    <t xml:space="preserve">Read Mean |Gap| and Opposite-direction count, not just Avg Gap (signed) -- a dimension can show a small, reassuring signed average while every single respondent is actually far off in different directions that cancel out in the mean. Mean |Gap| shows the typical size of the miss regardless of direction; Opposite-direction count shows how often the engine's sign disagreed with the person's own sense of themselves entirely (excluding neutral self-ratings, which have no direction to violate).</t>
  </si>
  <si>
    <t xml:space="preserve">A REVIEW flag fires if Mean |Gap| exceeds 0.5, OR more than 40% of respondents landed on the opposite side of neutral from their own rating -- whichever finds the problem first. This is descriptive, not a statistical significance test, and especially not reliable below ~10 respondents; treat it as a prompt to look closer, not a verdict.</t>
  </si>
  <si>
    <t xml:space="preserve">R-0LU91I</t>
  </si>
  <si>
    <t xml:space="preserve">2026-07-16</t>
  </si>
</sst>
</file>

<file path=xl/styles.xml><?xml version="1.0" encoding="utf-8"?>
<styleSheet xmlns="http://schemas.openxmlformats.org/spreadsheetml/2006/main">
  <numFmts count="4">
    <numFmt numFmtId="164" formatCode="General"/>
    <numFmt numFmtId="165" formatCode="General"/>
    <numFmt numFmtId="166" formatCode="\+0.00;\-0.00"/>
    <numFmt numFmtId="167" formatCode="0.00"/>
  </numFmts>
  <fonts count="16">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55555"/>
      <name val="Arial"/>
      <family val="0"/>
      <charset val="1"/>
    </font>
    <font>
      <b val="true"/>
      <sz val="11"/>
      <color rgb="FF1F4E5F"/>
      <name val="Arial"/>
      <family val="0"/>
      <charset val="1"/>
    </font>
    <font>
      <sz val="10"/>
      <name val="Arial"/>
      <family val="0"/>
      <charset val="1"/>
    </font>
    <font>
      <b val="true"/>
      <sz val="11"/>
      <color rgb="FFC0392B"/>
      <name val="Arial"/>
      <family val="0"/>
      <charset val="1"/>
    </font>
    <font>
      <i val="true"/>
      <sz val="10"/>
      <color rgb="FF777777"/>
      <name val="Arial"/>
      <family val="0"/>
      <charset val="1"/>
    </font>
    <font>
      <b val="true"/>
      <sz val="10"/>
      <color rgb="FFFFFFFF"/>
      <name val="Arial"/>
      <family val="0"/>
      <charset val="1"/>
    </font>
    <font>
      <sz val="10"/>
      <color rgb="FF1155CC"/>
      <name val="Arial"/>
      <family val="0"/>
      <charset val="1"/>
    </font>
    <font>
      <sz val="10"/>
      <color rgb="FF000000"/>
      <name val="Arial"/>
      <family val="0"/>
      <charset val="1"/>
    </font>
    <font>
      <b val="true"/>
      <sz val="14"/>
      <color rgb="FF1F4E5F"/>
      <name val="Arial"/>
      <family val="0"/>
      <charset val="1"/>
    </font>
    <font>
      <b val="true"/>
      <sz val="12"/>
      <name val="Arial"/>
      <family val="0"/>
      <charset val="1"/>
    </font>
    <font>
      <i val="true"/>
      <sz val="9"/>
      <color rgb="FF777777"/>
      <name val="Arial"/>
      <family val="0"/>
      <charset val="1"/>
    </font>
  </fonts>
  <fills count="4">
    <fill>
      <patternFill patternType="none"/>
    </fill>
    <fill>
      <patternFill patternType="gray125"/>
    </fill>
    <fill>
      <patternFill patternType="solid">
        <fgColor rgb="FF1F4E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4E5F"/>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6.25" hidden="false" customHeight="false" outlineLevel="0" collapsed="false">
      <c r="B6" s="4" t="s">
        <v>3</v>
      </c>
    </row>
    <row r="8" customFormat="false" ht="15" hidden="false" customHeight="false" outlineLevel="0" collapsed="false">
      <c r="B8" s="3" t="s">
        <v>4</v>
      </c>
    </row>
    <row r="9" customFormat="false" ht="46.25" hidden="false" customHeight="false" outlineLevel="0" collapsed="false">
      <c r="B9" s="4" t="s">
        <v>5</v>
      </c>
    </row>
    <row r="10" customFormat="false" ht="15" hidden="false" customHeight="false" outlineLevel="0" collapsed="false">
      <c r="B10" s="4" t="s">
        <v>6</v>
      </c>
    </row>
    <row r="12" customFormat="false" ht="15" hidden="false" customHeight="false" outlineLevel="0" collapsed="false">
      <c r="B12" s="3" t="s">
        <v>7</v>
      </c>
    </row>
    <row r="13" customFormat="false" ht="15" hidden="false" customHeight="false" outlineLevel="0" collapsed="false">
      <c r="B13" s="4" t="s">
        <v>8</v>
      </c>
    </row>
    <row r="14" customFormat="false" ht="35.05" hidden="false" customHeight="false" outlineLevel="0" collapsed="false">
      <c r="B14" s="4" t="s">
        <v>9</v>
      </c>
    </row>
    <row r="15" customFormat="false" ht="15" hidden="false" customHeight="false" outlineLevel="0" collapsed="false">
      <c r="B15" s="4" t="s">
        <v>10</v>
      </c>
    </row>
    <row r="16" customFormat="false" ht="23.85" hidden="false" customHeight="false" outlineLevel="0" collapsed="false">
      <c r="B16" s="4" t="s">
        <v>11</v>
      </c>
    </row>
    <row r="17" customFormat="false" ht="23.85" hidden="false" customHeight="false" outlineLevel="0" collapsed="false">
      <c r="B17" s="4" t="s">
        <v>12</v>
      </c>
    </row>
    <row r="18" customFormat="false" ht="23.85" hidden="false" customHeight="false" outlineLevel="0" collapsed="false">
      <c r="B18" s="4" t="s">
        <v>13</v>
      </c>
    </row>
    <row r="20" customFormat="false" ht="15" hidden="false" customHeight="false" outlineLevel="0" collapsed="false">
      <c r="B20" s="3" t="s">
        <v>14</v>
      </c>
    </row>
    <row r="21" customFormat="false" ht="35.05" hidden="false" customHeight="false" outlineLevel="0" collapsed="false">
      <c r="B21" s="4" t="s">
        <v>15</v>
      </c>
    </row>
    <row r="22" customFormat="false" ht="23.85" hidden="false" customHeight="false" outlineLevel="0" collapsed="false">
      <c r="B22" s="4" t="s">
        <v>16</v>
      </c>
    </row>
    <row r="24" customFormat="false" ht="15" hidden="false" customHeight="false" outlineLevel="0" collapsed="false">
      <c r="B24" s="3" t="s">
        <v>17</v>
      </c>
    </row>
    <row r="25" customFormat="false" ht="91" hidden="false" customHeight="false" outlineLevel="0" collapsed="false">
      <c r="B25" s="4" t="s">
        <v>18</v>
      </c>
    </row>
    <row r="27" customFormat="false" ht="15" hidden="false" customHeight="false" outlineLevel="0" collapsed="false">
      <c r="B27" s="5" t="s">
        <v>19</v>
      </c>
    </row>
    <row r="28" customFormat="false" ht="35.05" hidden="false" customHeight="false" outlineLevel="0" collapsed="false">
      <c r="B28" s="4" t="s">
        <v>20</v>
      </c>
    </row>
    <row r="30" customFormat="false" ht="23.85" hidden="false" customHeight="false" outlineLevel="0" collapsed="false">
      <c r="B30" s="6"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2"/>
    <col collapsed="false" customWidth="true" hidden="false" outlineLevel="0" max="4" min="4" style="0" width="14"/>
    <col collapsed="false" customWidth="true" hidden="false" outlineLevel="0" max="10" min="5" style="0" width="11"/>
    <col collapsed="false" customWidth="true" hidden="false" outlineLevel="0" max="16" min="11" style="0" width="12"/>
    <col collapsed="false" customWidth="true" hidden="false" outlineLevel="0" max="22" min="17" style="0" width="10"/>
    <col collapsed="false" customWidth="true" hidden="false" outlineLevel="0" max="28" min="23" style="0" width="9"/>
    <col collapsed="false" customWidth="true" hidden="false" outlineLevel="0" max="29" min="29" style="0" width="30"/>
  </cols>
  <sheetData>
    <row r="1" customFormat="false" ht="15" hidden="false" customHeight="false" outlineLevel="0" collapsed="false">
      <c r="A1" s="7" t="s">
        <v>22</v>
      </c>
    </row>
    <row r="2" customFormat="false" ht="42" hidden="false" customHeight="true" outlineLevel="0" collapsed="false">
      <c r="A2" s="8" t="s">
        <v>23</v>
      </c>
      <c r="B2" s="8" t="s">
        <v>24</v>
      </c>
      <c r="C2" s="8" t="s">
        <v>25</v>
      </c>
      <c r="D2" s="8" t="s">
        <v>26</v>
      </c>
      <c r="E2" s="8" t="s">
        <v>27</v>
      </c>
      <c r="F2" s="8" t="s">
        <v>28</v>
      </c>
      <c r="G2" s="8" t="s">
        <v>29</v>
      </c>
      <c r="H2" s="8" t="s">
        <v>30</v>
      </c>
      <c r="I2" s="8" t="s">
        <v>31</v>
      </c>
      <c r="J2" s="8" t="s">
        <v>32</v>
      </c>
      <c r="K2" s="8" t="s">
        <v>33</v>
      </c>
      <c r="L2" s="8" t="s">
        <v>34</v>
      </c>
      <c r="M2" s="8" t="s">
        <v>35</v>
      </c>
      <c r="N2" s="8" t="s">
        <v>36</v>
      </c>
      <c r="O2" s="8" t="s">
        <v>37</v>
      </c>
      <c r="P2" s="8" t="s">
        <v>38</v>
      </c>
      <c r="Q2" s="8" t="s">
        <v>39</v>
      </c>
      <c r="R2" s="8" t="s">
        <v>40</v>
      </c>
      <c r="S2" s="8" t="s">
        <v>41</v>
      </c>
      <c r="T2" s="8" t="s">
        <v>42</v>
      </c>
      <c r="U2" s="8" t="s">
        <v>43</v>
      </c>
      <c r="V2" s="8" t="s">
        <v>44</v>
      </c>
      <c r="W2" s="8" t="s">
        <v>45</v>
      </c>
      <c r="X2" s="8" t="s">
        <v>46</v>
      </c>
      <c r="Y2" s="8" t="s">
        <v>47</v>
      </c>
      <c r="Z2" s="8" t="s">
        <v>48</v>
      </c>
      <c r="AA2" s="8" t="s">
        <v>49</v>
      </c>
      <c r="AB2" s="8" t="s">
        <v>50</v>
      </c>
      <c r="AC2" s="8" t="s">
        <v>51</v>
      </c>
    </row>
    <row r="3" customFormat="false" ht="15" hidden="false" customHeight="false" outlineLevel="0" collapsed="false">
      <c r="A3" s="9" t="s">
        <v>52</v>
      </c>
      <c r="B3" s="9" t="s">
        <v>53</v>
      </c>
      <c r="C3" s="9" t="s">
        <v>54</v>
      </c>
      <c r="D3" s="9" t="n">
        <v>1</v>
      </c>
      <c r="E3" s="9" t="n">
        <v>3</v>
      </c>
      <c r="F3" s="9" t="n">
        <v>4</v>
      </c>
      <c r="G3" s="9" t="n">
        <v>4</v>
      </c>
      <c r="H3" s="9" t="n">
        <v>4</v>
      </c>
      <c r="I3" s="9" t="n">
        <v>3</v>
      </c>
      <c r="J3" s="9" t="n">
        <v>3</v>
      </c>
      <c r="K3" s="10" t="n">
        <f aca="false">IF(E3="","",E3-3)</f>
        <v>0</v>
      </c>
      <c r="L3" s="10" t="n">
        <f aca="false">IF(F3="","",F3-3)</f>
        <v>1</v>
      </c>
      <c r="M3" s="10" t="n">
        <f aca="false">IF(G3="","",G3-3)</f>
        <v>1</v>
      </c>
      <c r="N3" s="10" t="n">
        <f aca="false">IF(H3="","",H3-3)</f>
        <v>1</v>
      </c>
      <c r="O3" s="10" t="n">
        <f aca="false">IF(I3="","",I3-3)</f>
        <v>0</v>
      </c>
      <c r="P3" s="10" t="n">
        <f aca="false">IF(J3="","",J3-3)</f>
        <v>0</v>
      </c>
      <c r="Q3" s="9" t="n">
        <v>-0.1</v>
      </c>
      <c r="R3" s="9" t="n">
        <v>0.14</v>
      </c>
      <c r="S3" s="9" t="n">
        <v>0.35</v>
      </c>
      <c r="T3" s="9" t="n">
        <v>0.1</v>
      </c>
      <c r="U3" s="9" t="n">
        <v>-0.2</v>
      </c>
      <c r="V3" s="9" t="n">
        <v>-0.3</v>
      </c>
      <c r="W3" s="11" t="n">
        <f aca="false">IF(OR(Q3="",K3=""),"",Q3-K3)</f>
        <v>-0.1</v>
      </c>
      <c r="X3" s="11" t="n">
        <f aca="false">IF(OR(R3="",L3=""),"",R3-L3)</f>
        <v>-0.86</v>
      </c>
      <c r="Y3" s="11" t="n">
        <f aca="false">IF(OR(S3="",M3=""),"",S3-M3)</f>
        <v>-0.65</v>
      </c>
      <c r="Z3" s="11" t="n">
        <f aca="false">IF(OR(T3="",N3=""),"",T3-N3)</f>
        <v>-0.9</v>
      </c>
      <c r="AA3" s="11" t="n">
        <f aca="false">IF(OR(U3="",O3=""),"",U3-O3)</f>
        <v>-0.2</v>
      </c>
      <c r="AB3" s="11" t="n">
        <f aca="false">IF(OR(V3="",P3=""),"",V3-P3)</f>
        <v>-0.3</v>
      </c>
      <c r="AC3" s="9"/>
    </row>
    <row r="4" customFormat="false" ht="15" hidden="false" customHeight="false" outlineLevel="0" collapsed="false">
      <c r="A4" s="9" t="s">
        <v>55</v>
      </c>
      <c r="B4" s="9" t="s">
        <v>53</v>
      </c>
      <c r="C4" s="9" t="s">
        <v>54</v>
      </c>
      <c r="D4" s="9" t="n">
        <v>1</v>
      </c>
      <c r="E4" s="9" t="n">
        <v>1</v>
      </c>
      <c r="F4" s="9" t="n">
        <v>3</v>
      </c>
      <c r="G4" s="9" t="n">
        <v>3</v>
      </c>
      <c r="H4" s="9" t="n">
        <v>3</v>
      </c>
      <c r="I4" s="9" t="n">
        <v>4</v>
      </c>
      <c r="J4" s="9" t="n">
        <v>2</v>
      </c>
      <c r="K4" s="10" t="n">
        <f aca="false">IF(E4="","",E4-3)</f>
        <v>-2</v>
      </c>
      <c r="L4" s="10" t="n">
        <f aca="false">IF(F4="","",F4-3)</f>
        <v>0</v>
      </c>
      <c r="M4" s="10" t="n">
        <f aca="false">IF(G4="","",G4-3)</f>
        <v>0</v>
      </c>
      <c r="N4" s="10" t="n">
        <f aca="false">IF(H4="","",H4-3)</f>
        <v>0</v>
      </c>
      <c r="O4" s="10" t="n">
        <f aca="false">IF(I4="","",I4-3)</f>
        <v>1</v>
      </c>
      <c r="P4" s="10" t="n">
        <f aca="false">IF(J4="","",J4-3)</f>
        <v>-1</v>
      </c>
      <c r="Q4" s="9" t="n">
        <v>-0.04</v>
      </c>
      <c r="R4" s="9" t="n">
        <v>0.07</v>
      </c>
      <c r="S4" s="9" t="n">
        <v>0.21</v>
      </c>
      <c r="T4" s="9" t="n">
        <v>0.04</v>
      </c>
      <c r="U4" s="9" t="n">
        <v>-0.09</v>
      </c>
      <c r="V4" s="9" t="n">
        <v>-0.17</v>
      </c>
      <c r="W4" s="11" t="n">
        <f aca="false">IF(OR(Q4="",K4=""),"",Q4-K4)</f>
        <v>1.96</v>
      </c>
      <c r="X4" s="11" t="n">
        <f aca="false">IF(OR(R4="",L4=""),"",R4-L4)</f>
        <v>0.07</v>
      </c>
      <c r="Y4" s="11" t="n">
        <f aca="false">IF(OR(S4="",M4=""),"",S4-M4)</f>
        <v>0.21</v>
      </c>
      <c r="Z4" s="11" t="n">
        <f aca="false">IF(OR(T4="",N4=""),"",T4-N4)</f>
        <v>0.04</v>
      </c>
      <c r="AA4" s="11" t="n">
        <f aca="false">IF(OR(U4="",O4=""),"",U4-O4)</f>
        <v>-1.09</v>
      </c>
      <c r="AB4" s="11" t="n">
        <f aca="false">IF(OR(V4="",P4=""),"",V4-P4)</f>
        <v>0.83</v>
      </c>
      <c r="AC4" s="9"/>
    </row>
    <row r="5" customFormat="false" ht="15" hidden="false" customHeight="false" outlineLevel="0" collapsed="false">
      <c r="A5" s="9" t="s">
        <v>56</v>
      </c>
      <c r="B5" s="9" t="s">
        <v>53</v>
      </c>
      <c r="C5" s="9" t="s">
        <v>54</v>
      </c>
      <c r="D5" s="9" t="n">
        <v>1</v>
      </c>
      <c r="E5" s="9" t="n">
        <v>1</v>
      </c>
      <c r="F5" s="9" t="n">
        <v>1</v>
      </c>
      <c r="G5" s="9" t="n">
        <v>1</v>
      </c>
      <c r="H5" s="9" t="n">
        <v>5</v>
      </c>
      <c r="I5" s="9" t="n">
        <v>1</v>
      </c>
      <c r="J5" s="9" t="n">
        <v>5</v>
      </c>
      <c r="K5" s="10" t="n">
        <f aca="false">IF(E5="","",E5-3)</f>
        <v>-2</v>
      </c>
      <c r="L5" s="10" t="n">
        <f aca="false">IF(F5="","",F5-3)</f>
        <v>-2</v>
      </c>
      <c r="M5" s="10" t="n">
        <f aca="false">IF(G5="","",G5-3)</f>
        <v>-2</v>
      </c>
      <c r="N5" s="10" t="n">
        <f aca="false">IF(H5="","",H5-3)</f>
        <v>2</v>
      </c>
      <c r="O5" s="10" t="n">
        <f aca="false">IF(I5="","",I5-3)</f>
        <v>-2</v>
      </c>
      <c r="P5" s="10" t="n">
        <f aca="false">IF(J5="","",J5-3)</f>
        <v>2</v>
      </c>
      <c r="Q5" s="9" t="n">
        <v>0.2</v>
      </c>
      <c r="R5" s="9" t="n">
        <v>-0.1</v>
      </c>
      <c r="S5" s="9" t="n">
        <v>0.01</v>
      </c>
      <c r="T5" s="9" t="n">
        <v>-0.14</v>
      </c>
      <c r="U5" s="9" t="n">
        <v>0.1</v>
      </c>
      <c r="V5" s="9" t="n">
        <v>0.11</v>
      </c>
      <c r="W5" s="11" t="n">
        <f aca="false">IF(OR(Q5="",K5=""),"",Q5-K5)</f>
        <v>2.2</v>
      </c>
      <c r="X5" s="11" t="n">
        <f aca="false">IF(OR(R5="",L5=""),"",R5-L5)</f>
        <v>1.9</v>
      </c>
      <c r="Y5" s="11" t="n">
        <f aca="false">IF(OR(S5="",M5=""),"",S5-M5)</f>
        <v>2.01</v>
      </c>
      <c r="Z5" s="11" t="n">
        <f aca="false">IF(OR(T5="",N5=""),"",T5-N5)</f>
        <v>-2.14</v>
      </c>
      <c r="AA5" s="11" t="n">
        <f aca="false">IF(OR(U5="",O5=""),"",U5-O5)</f>
        <v>2.1</v>
      </c>
      <c r="AB5" s="11" t="n">
        <f aca="false">IF(OR(V5="",P5=""),"",V5-P5)</f>
        <v>-1.89</v>
      </c>
      <c r="AC5" s="9"/>
    </row>
    <row r="6" customFormat="false" ht="15" hidden="false" customHeight="false" outlineLevel="0" collapsed="false">
      <c r="A6" s="9" t="s">
        <v>57</v>
      </c>
      <c r="B6" s="9" t="s">
        <v>53</v>
      </c>
      <c r="C6" s="9" t="s">
        <v>54</v>
      </c>
      <c r="D6" s="9" t="n">
        <v>1</v>
      </c>
      <c r="E6" s="9" t="n">
        <v>5</v>
      </c>
      <c r="F6" s="9" t="n">
        <v>4</v>
      </c>
      <c r="G6" s="9" t="n">
        <v>5</v>
      </c>
      <c r="H6" s="9" t="n">
        <v>5</v>
      </c>
      <c r="I6" s="9" t="n">
        <v>5</v>
      </c>
      <c r="J6" s="9" t="n">
        <v>3</v>
      </c>
      <c r="K6" s="10" t="n">
        <f aca="false">IF(E6="","",E6-3)</f>
        <v>2</v>
      </c>
      <c r="L6" s="10" t="n">
        <f aca="false">IF(F6="","",F6-3)</f>
        <v>1</v>
      </c>
      <c r="M6" s="10" t="n">
        <f aca="false">IF(G6="","",G6-3)</f>
        <v>2</v>
      </c>
      <c r="N6" s="10" t="n">
        <f aca="false">IF(H6="","",H6-3)</f>
        <v>2</v>
      </c>
      <c r="O6" s="10" t="n">
        <f aca="false">IF(I6="","",I6-3)</f>
        <v>2</v>
      </c>
      <c r="P6" s="10" t="n">
        <f aca="false">IF(J6="","",J6-3)</f>
        <v>0</v>
      </c>
      <c r="Q6" s="9" t="n">
        <v>-0.03</v>
      </c>
      <c r="R6" s="9" t="n">
        <v>0.06</v>
      </c>
      <c r="S6" s="9" t="n">
        <v>0.07</v>
      </c>
      <c r="T6" s="9" t="n">
        <v>0.06</v>
      </c>
      <c r="U6" s="9" t="n">
        <v>0.01</v>
      </c>
      <c r="V6" s="9" t="n">
        <v>-0.01</v>
      </c>
      <c r="W6" s="11" t="n">
        <f aca="false">IF(OR(Q6="",K6=""),"",Q6-K6)</f>
        <v>-2.03</v>
      </c>
      <c r="X6" s="11" t="n">
        <f aca="false">IF(OR(R6="",L6=""),"",R6-L6)</f>
        <v>-0.94</v>
      </c>
      <c r="Y6" s="11" t="n">
        <f aca="false">IF(OR(S6="",M6=""),"",S6-M6)</f>
        <v>-1.93</v>
      </c>
      <c r="Z6" s="11" t="n">
        <f aca="false">IF(OR(T6="",N6=""),"",T6-N6)</f>
        <v>-1.94</v>
      </c>
      <c r="AA6" s="11" t="n">
        <f aca="false">IF(OR(U6="",O6=""),"",U6-O6)</f>
        <v>-1.99</v>
      </c>
      <c r="AB6" s="11" t="n">
        <f aca="false">IF(OR(V6="",P6=""),"",V6-P6)</f>
        <v>-0.01</v>
      </c>
      <c r="AC6" s="9"/>
    </row>
    <row r="7" customFormat="false" ht="15" hidden="false" customHeight="false" outlineLevel="0" collapsed="false">
      <c r="A7" s="9" t="s">
        <v>58</v>
      </c>
      <c r="B7" s="9" t="s">
        <v>53</v>
      </c>
      <c r="C7" s="9" t="s">
        <v>54</v>
      </c>
      <c r="D7" s="9" t="n">
        <v>1</v>
      </c>
      <c r="E7" s="9" t="n">
        <v>5</v>
      </c>
      <c r="F7" s="9" t="n">
        <v>3</v>
      </c>
      <c r="G7" s="9" t="n">
        <v>5</v>
      </c>
      <c r="H7" s="9" t="n">
        <v>3</v>
      </c>
      <c r="I7" s="9" t="n">
        <v>3</v>
      </c>
      <c r="J7" s="9" t="n">
        <v>3</v>
      </c>
      <c r="K7" s="10" t="n">
        <f aca="false">IF(E7="","",E7-3)</f>
        <v>2</v>
      </c>
      <c r="L7" s="10" t="n">
        <f aca="false">IF(F7="","",F7-3)</f>
        <v>0</v>
      </c>
      <c r="M7" s="10" t="n">
        <f aca="false">IF(G7="","",G7-3)</f>
        <v>2</v>
      </c>
      <c r="N7" s="10" t="n">
        <f aca="false">IF(H7="","",H7-3)</f>
        <v>0</v>
      </c>
      <c r="O7" s="10" t="n">
        <f aca="false">IF(I7="","",I7-3)</f>
        <v>0</v>
      </c>
      <c r="P7" s="10" t="n">
        <f aca="false">IF(J7="","",J7-3)</f>
        <v>0</v>
      </c>
      <c r="Q7" s="9" t="n">
        <v>0.04</v>
      </c>
      <c r="R7" s="9" t="n">
        <v>-0.01</v>
      </c>
      <c r="S7" s="9" t="n">
        <v>-0.15</v>
      </c>
      <c r="T7" s="9" t="n">
        <v>0.01</v>
      </c>
      <c r="U7" s="9" t="n">
        <v>0.11</v>
      </c>
      <c r="V7" s="9" t="n">
        <v>0.28</v>
      </c>
      <c r="W7" s="11" t="n">
        <f aca="false">IF(OR(Q7="",K7=""),"",Q7-K7)</f>
        <v>-1.96</v>
      </c>
      <c r="X7" s="11" t="n">
        <f aca="false">IF(OR(R7="",L7=""),"",R7-L7)</f>
        <v>-0.01</v>
      </c>
      <c r="Y7" s="11" t="n">
        <f aca="false">IF(OR(S7="",M7=""),"",S7-M7)</f>
        <v>-2.15</v>
      </c>
      <c r="Z7" s="11" t="n">
        <f aca="false">IF(OR(T7="",N7=""),"",T7-N7)</f>
        <v>0.01</v>
      </c>
      <c r="AA7" s="11" t="n">
        <f aca="false">IF(OR(U7="",O7=""),"",U7-O7)</f>
        <v>0.11</v>
      </c>
      <c r="AB7" s="11" t="n">
        <f aca="false">IF(OR(V7="",P7=""),"",V7-P7)</f>
        <v>0.28</v>
      </c>
      <c r="AC7" s="9"/>
    </row>
    <row r="8" customFormat="false" ht="15" hidden="false" customHeight="false" outlineLevel="0" collapsed="false">
      <c r="A8" s="9" t="s">
        <v>77</v>
      </c>
      <c r="B8" s="9" t="s">
        <v>78</v>
      </c>
      <c r="C8" s="9" t="s">
        <v>54</v>
      </c>
      <c r="D8" s="9" t="n">
        <v>1</v>
      </c>
      <c r="E8" s="9" t="n">
        <v>5</v>
      </c>
      <c r="F8" s="9" t="n">
        <v>2</v>
      </c>
      <c r="G8" s="9" t="n">
        <v>5</v>
      </c>
      <c r="H8" s="9" t="n">
        <v>2</v>
      </c>
      <c r="I8" s="9" t="n">
        <v>3</v>
      </c>
      <c r="J8" s="9" t="n">
        <v>2</v>
      </c>
      <c r="K8" s="10" t="n">
        <f aca="false">IF(E8="","",E8-3)</f>
        <v>2</v>
      </c>
      <c r="L8" s="10" t="n">
        <f aca="false">IF(F8="","",F8-3)</f>
        <v>-1</v>
      </c>
      <c r="M8" s="10" t="n">
        <f aca="false">IF(G8="","",G8-3)</f>
        <v>2</v>
      </c>
      <c r="N8" s="10" t="n">
        <f aca="false">IF(H8="","",H8-3)</f>
        <v>-1</v>
      </c>
      <c r="O8" s="10" t="n">
        <f aca="false">IF(I8="","",I8-3)</f>
        <v>0</v>
      </c>
      <c r="P8" s="10" t="n">
        <f aca="false">IF(J8="","",J8-3)</f>
        <v>-1</v>
      </c>
      <c r="Q8" s="9" t="n">
        <v>-0.17</v>
      </c>
      <c r="R8" s="9" t="n">
        <v>0.19</v>
      </c>
      <c r="S8" s="9" t="n">
        <v>0.38</v>
      </c>
      <c r="T8" s="9" t="n">
        <v>0.16</v>
      </c>
      <c r="U8" s="9" t="n">
        <v>-0.3</v>
      </c>
      <c r="V8" s="9" t="n">
        <v>-0.29</v>
      </c>
      <c r="W8" s="11" t="n">
        <f aca="false">IF(OR(Q8="",K8=""),"",Q8-K8)</f>
        <v>-2.17</v>
      </c>
      <c r="X8" s="11" t="n">
        <f aca="false">IF(OR(R8="",L8=""),"",R8-L8)</f>
        <v>1.19</v>
      </c>
      <c r="Y8" s="11" t="n">
        <f aca="false">IF(OR(S8="",M8=""),"",S8-M8)</f>
        <v>-1.62</v>
      </c>
      <c r="Z8" s="11" t="n">
        <f aca="false">IF(OR(T8="",N8=""),"",T8-N8)</f>
        <v>1.16</v>
      </c>
      <c r="AA8" s="11" t="n">
        <f aca="false">IF(OR(U8="",O8=""),"",U8-O8)</f>
        <v>-0.3</v>
      </c>
      <c r="AB8" s="11" t="n">
        <f aca="false">IF(OR(V8="",P8=""),"",V8-P8)</f>
        <v>0.71</v>
      </c>
      <c r="AC8" s="9"/>
    </row>
    <row r="9" customFormat="false" ht="15" hidden="false" customHeight="false" outlineLevel="0" collapsed="false">
      <c r="A9" s="9"/>
      <c r="B9" s="9"/>
      <c r="C9" s="9"/>
      <c r="D9" s="9"/>
      <c r="E9" s="9"/>
      <c r="F9" s="9"/>
      <c r="G9" s="9"/>
      <c r="H9" s="9"/>
      <c r="I9" s="9"/>
      <c r="J9" s="9"/>
      <c r="K9" s="10" t="str">
        <f aca="false">IF(E9="","",E9-3)</f>
        <v/>
      </c>
      <c r="L9" s="10" t="str">
        <f aca="false">IF(F9="","",F9-3)</f>
        <v/>
      </c>
      <c r="M9" s="10" t="str">
        <f aca="false">IF(G9="","",G9-3)</f>
        <v/>
      </c>
      <c r="N9" s="10" t="str">
        <f aca="false">IF(H9="","",H9-3)</f>
        <v/>
      </c>
      <c r="O9" s="10" t="str">
        <f aca="false">IF(I9="","",I9-3)</f>
        <v/>
      </c>
      <c r="P9" s="10" t="str">
        <f aca="false">IF(J9="","",J9-3)</f>
        <v/>
      </c>
      <c r="Q9" s="9"/>
      <c r="R9" s="9"/>
      <c r="S9" s="9"/>
      <c r="T9" s="9"/>
      <c r="U9" s="9"/>
      <c r="V9" s="9"/>
      <c r="W9" s="11" t="str">
        <f aca="false">IF(OR(Q9="",K9=""),"",Q9-K9)</f>
        <v/>
      </c>
      <c r="X9" s="11" t="str">
        <f aca="false">IF(OR(R9="",L9=""),"",R9-L9)</f>
        <v/>
      </c>
      <c r="Y9" s="11" t="str">
        <f aca="false">IF(OR(S9="",M9=""),"",S9-M9)</f>
        <v/>
      </c>
      <c r="Z9" s="11" t="str">
        <f aca="false">IF(OR(T9="",N9=""),"",T9-N9)</f>
        <v/>
      </c>
      <c r="AA9" s="11" t="str">
        <f aca="false">IF(OR(U9="",O9=""),"",U9-O9)</f>
        <v/>
      </c>
      <c r="AB9" s="11" t="str">
        <f aca="false">IF(OR(V9="",P9=""),"",V9-P9)</f>
        <v/>
      </c>
      <c r="AC9" s="9"/>
    </row>
    <row r="10" customFormat="false" ht="15" hidden="false" customHeight="false" outlineLevel="0" collapsed="false">
      <c r="A10" s="9"/>
      <c r="B10" s="9"/>
      <c r="C10" s="9"/>
      <c r="D10" s="9"/>
      <c r="E10" s="9"/>
      <c r="F10" s="9"/>
      <c r="G10" s="9"/>
      <c r="H10" s="9"/>
      <c r="I10" s="9"/>
      <c r="J10" s="9"/>
      <c r="K10" s="10" t="str">
        <f aca="false">IF(E10="","",E10-3)</f>
        <v/>
      </c>
      <c r="L10" s="10" t="str">
        <f aca="false">IF(F10="","",F10-3)</f>
        <v/>
      </c>
      <c r="M10" s="10" t="str">
        <f aca="false">IF(G10="","",G10-3)</f>
        <v/>
      </c>
      <c r="N10" s="10" t="str">
        <f aca="false">IF(H10="","",H10-3)</f>
        <v/>
      </c>
      <c r="O10" s="10" t="str">
        <f aca="false">IF(I10="","",I10-3)</f>
        <v/>
      </c>
      <c r="P10" s="10" t="str">
        <f aca="false">IF(J10="","",J10-3)</f>
        <v/>
      </c>
      <c r="Q10" s="9"/>
      <c r="R10" s="9"/>
      <c r="S10" s="9"/>
      <c r="T10" s="9"/>
      <c r="U10" s="9"/>
      <c r="V10" s="9"/>
      <c r="W10" s="11" t="str">
        <f aca="false">IF(OR(Q10="",K10=""),"",Q10-K10)</f>
        <v/>
      </c>
      <c r="X10" s="11" t="str">
        <f aca="false">IF(OR(R10="",L10=""),"",R10-L10)</f>
        <v/>
      </c>
      <c r="Y10" s="11" t="str">
        <f aca="false">IF(OR(S10="",M10=""),"",S10-M10)</f>
        <v/>
      </c>
      <c r="Z10" s="11" t="str">
        <f aca="false">IF(OR(T10="",N10=""),"",T10-N10)</f>
        <v/>
      </c>
      <c r="AA10" s="11" t="str">
        <f aca="false">IF(OR(U10="",O10=""),"",U10-O10)</f>
        <v/>
      </c>
      <c r="AB10" s="11" t="str">
        <f aca="false">IF(OR(V10="",P10=""),"",V10-P10)</f>
        <v/>
      </c>
      <c r="AC10" s="9"/>
    </row>
    <row r="11" customFormat="false" ht="15" hidden="false" customHeight="false" outlineLevel="0" collapsed="false">
      <c r="A11" s="9"/>
      <c r="B11" s="9"/>
      <c r="C11" s="9"/>
      <c r="D11" s="9"/>
      <c r="E11" s="9"/>
      <c r="F11" s="9"/>
      <c r="G11" s="9"/>
      <c r="H11" s="9"/>
      <c r="I11" s="9"/>
      <c r="J11" s="9"/>
      <c r="K11" s="10" t="str">
        <f aca="false">IF(E11="","",E11-3)</f>
        <v/>
      </c>
      <c r="L11" s="10" t="str">
        <f aca="false">IF(F11="","",F11-3)</f>
        <v/>
      </c>
      <c r="M11" s="10" t="str">
        <f aca="false">IF(G11="","",G11-3)</f>
        <v/>
      </c>
      <c r="N11" s="10" t="str">
        <f aca="false">IF(H11="","",H11-3)</f>
        <v/>
      </c>
      <c r="O11" s="10" t="str">
        <f aca="false">IF(I11="","",I11-3)</f>
        <v/>
      </c>
      <c r="P11" s="10" t="str">
        <f aca="false">IF(J11="","",J11-3)</f>
        <v/>
      </c>
      <c r="Q11" s="9"/>
      <c r="R11" s="9"/>
      <c r="S11" s="9"/>
      <c r="T11" s="9"/>
      <c r="U11" s="9"/>
      <c r="V11" s="9"/>
      <c r="W11" s="11" t="str">
        <f aca="false">IF(OR(Q11="",K11=""),"",Q11-K11)</f>
        <v/>
      </c>
      <c r="X11" s="11" t="str">
        <f aca="false">IF(OR(R11="",L11=""),"",R11-L11)</f>
        <v/>
      </c>
      <c r="Y11" s="11" t="str">
        <f aca="false">IF(OR(S11="",M11=""),"",S11-M11)</f>
        <v/>
      </c>
      <c r="Z11" s="11" t="str">
        <f aca="false">IF(OR(T11="",N11=""),"",T11-N11)</f>
        <v/>
      </c>
      <c r="AA11" s="11" t="str">
        <f aca="false">IF(OR(U11="",O11=""),"",U11-O11)</f>
        <v/>
      </c>
      <c r="AB11" s="11" t="str">
        <f aca="false">IF(OR(V11="",P11=""),"",V11-P11)</f>
        <v/>
      </c>
      <c r="AC11" s="9"/>
    </row>
    <row r="12" customFormat="false" ht="15" hidden="false" customHeight="false" outlineLevel="0" collapsed="false">
      <c r="A12" s="9"/>
      <c r="B12" s="9"/>
      <c r="C12" s="9"/>
      <c r="D12" s="9"/>
      <c r="E12" s="9"/>
      <c r="F12" s="9"/>
      <c r="G12" s="9"/>
      <c r="H12" s="9"/>
      <c r="I12" s="9"/>
      <c r="J12" s="9"/>
      <c r="K12" s="10" t="str">
        <f aca="false">IF(E12="","",E12-3)</f>
        <v/>
      </c>
      <c r="L12" s="10" t="str">
        <f aca="false">IF(F12="","",F12-3)</f>
        <v/>
      </c>
      <c r="M12" s="10" t="str">
        <f aca="false">IF(G12="","",G12-3)</f>
        <v/>
      </c>
      <c r="N12" s="10" t="str">
        <f aca="false">IF(H12="","",H12-3)</f>
        <v/>
      </c>
      <c r="O12" s="10" t="str">
        <f aca="false">IF(I12="","",I12-3)</f>
        <v/>
      </c>
      <c r="P12" s="10" t="str">
        <f aca="false">IF(J12="","",J12-3)</f>
        <v/>
      </c>
      <c r="Q12" s="9"/>
      <c r="R12" s="9"/>
      <c r="S12" s="9"/>
      <c r="T12" s="9"/>
      <c r="U12" s="9"/>
      <c r="V12" s="9"/>
      <c r="W12" s="11" t="str">
        <f aca="false">IF(OR(Q12="",K12=""),"",Q12-K12)</f>
        <v/>
      </c>
      <c r="X12" s="11" t="str">
        <f aca="false">IF(OR(R12="",L12=""),"",R12-L12)</f>
        <v/>
      </c>
      <c r="Y12" s="11" t="str">
        <f aca="false">IF(OR(S12="",M12=""),"",S12-M12)</f>
        <v/>
      </c>
      <c r="Z12" s="11" t="str">
        <f aca="false">IF(OR(T12="",N12=""),"",T12-N12)</f>
        <v/>
      </c>
      <c r="AA12" s="11" t="str">
        <f aca="false">IF(OR(U12="",O12=""),"",U12-O12)</f>
        <v/>
      </c>
      <c r="AB12" s="11" t="str">
        <f aca="false">IF(OR(V12="",P12=""),"",V12-P12)</f>
        <v/>
      </c>
      <c r="AC12" s="9"/>
    </row>
    <row r="13" customFormat="false" ht="15" hidden="false" customHeight="false" outlineLevel="0" collapsed="false">
      <c r="A13" s="9"/>
      <c r="B13" s="9"/>
      <c r="C13" s="9"/>
      <c r="D13" s="9"/>
      <c r="E13" s="9"/>
      <c r="F13" s="9"/>
      <c r="G13" s="9"/>
      <c r="H13" s="9"/>
      <c r="I13" s="9"/>
      <c r="J13" s="9"/>
      <c r="K13" s="10" t="str">
        <f aca="false">IF(E13="","",E13-3)</f>
        <v/>
      </c>
      <c r="L13" s="10" t="str">
        <f aca="false">IF(F13="","",F13-3)</f>
        <v/>
      </c>
      <c r="M13" s="10" t="str">
        <f aca="false">IF(G13="","",G13-3)</f>
        <v/>
      </c>
      <c r="N13" s="10" t="str">
        <f aca="false">IF(H13="","",H13-3)</f>
        <v/>
      </c>
      <c r="O13" s="10" t="str">
        <f aca="false">IF(I13="","",I13-3)</f>
        <v/>
      </c>
      <c r="P13" s="10" t="str">
        <f aca="false">IF(J13="","",J13-3)</f>
        <v/>
      </c>
      <c r="Q13" s="9"/>
      <c r="R13" s="9"/>
      <c r="S13" s="9"/>
      <c r="T13" s="9"/>
      <c r="U13" s="9"/>
      <c r="V13" s="9"/>
      <c r="W13" s="11" t="str">
        <f aca="false">IF(OR(Q13="",K13=""),"",Q13-K13)</f>
        <v/>
      </c>
      <c r="X13" s="11" t="str">
        <f aca="false">IF(OR(R13="",L13=""),"",R13-L13)</f>
        <v/>
      </c>
      <c r="Y13" s="11" t="str">
        <f aca="false">IF(OR(S13="",M13=""),"",S13-M13)</f>
        <v/>
      </c>
      <c r="Z13" s="11" t="str">
        <f aca="false">IF(OR(T13="",N13=""),"",T13-N13)</f>
        <v/>
      </c>
      <c r="AA13" s="11" t="str">
        <f aca="false">IF(OR(U13="",O13=""),"",U13-O13)</f>
        <v/>
      </c>
      <c r="AB13" s="11" t="str">
        <f aca="false">IF(OR(V13="",P13=""),"",V13-P13)</f>
        <v/>
      </c>
      <c r="AC13" s="9"/>
    </row>
    <row r="14" customFormat="false" ht="15" hidden="false" customHeight="false" outlineLevel="0" collapsed="false">
      <c r="A14" s="9"/>
      <c r="B14" s="9"/>
      <c r="C14" s="9"/>
      <c r="D14" s="9"/>
      <c r="E14" s="9"/>
      <c r="F14" s="9"/>
      <c r="G14" s="9"/>
      <c r="H14" s="9"/>
      <c r="I14" s="9"/>
      <c r="J14" s="9"/>
      <c r="K14" s="10" t="str">
        <f aca="false">IF(E14="","",E14-3)</f>
        <v/>
      </c>
      <c r="L14" s="10" t="str">
        <f aca="false">IF(F14="","",F14-3)</f>
        <v/>
      </c>
      <c r="M14" s="10" t="str">
        <f aca="false">IF(G14="","",G14-3)</f>
        <v/>
      </c>
      <c r="N14" s="10" t="str">
        <f aca="false">IF(H14="","",H14-3)</f>
        <v/>
      </c>
      <c r="O14" s="10" t="str">
        <f aca="false">IF(I14="","",I14-3)</f>
        <v/>
      </c>
      <c r="P14" s="10" t="str">
        <f aca="false">IF(J14="","",J14-3)</f>
        <v/>
      </c>
      <c r="Q14" s="9"/>
      <c r="R14" s="9"/>
      <c r="S14" s="9"/>
      <c r="T14" s="9"/>
      <c r="U14" s="9"/>
      <c r="V14" s="9"/>
      <c r="W14" s="11" t="str">
        <f aca="false">IF(OR(Q14="",K14=""),"",Q14-K14)</f>
        <v/>
      </c>
      <c r="X14" s="11" t="str">
        <f aca="false">IF(OR(R14="",L14=""),"",R14-L14)</f>
        <v/>
      </c>
      <c r="Y14" s="11" t="str">
        <f aca="false">IF(OR(S14="",M14=""),"",S14-M14)</f>
        <v/>
      </c>
      <c r="Z14" s="11" t="str">
        <f aca="false">IF(OR(T14="",N14=""),"",T14-N14)</f>
        <v/>
      </c>
      <c r="AA14" s="11" t="str">
        <f aca="false">IF(OR(U14="",O14=""),"",U14-O14)</f>
        <v/>
      </c>
      <c r="AB14" s="11" t="str">
        <f aca="false">IF(OR(V14="",P14=""),"",V14-P14)</f>
        <v/>
      </c>
      <c r="AC14" s="9"/>
    </row>
    <row r="15" customFormat="false" ht="15" hidden="false" customHeight="false" outlineLevel="0" collapsed="false">
      <c r="A15" s="9"/>
      <c r="B15" s="9"/>
      <c r="C15" s="9"/>
      <c r="D15" s="9"/>
      <c r="E15" s="9"/>
      <c r="F15" s="9"/>
      <c r="G15" s="9"/>
      <c r="H15" s="9"/>
      <c r="I15" s="9"/>
      <c r="J15" s="9"/>
      <c r="K15" s="10" t="str">
        <f aca="false">IF(E15="","",E15-3)</f>
        <v/>
      </c>
      <c r="L15" s="10" t="str">
        <f aca="false">IF(F15="","",F15-3)</f>
        <v/>
      </c>
      <c r="M15" s="10" t="str">
        <f aca="false">IF(G15="","",G15-3)</f>
        <v/>
      </c>
      <c r="N15" s="10" t="str">
        <f aca="false">IF(H15="","",H15-3)</f>
        <v/>
      </c>
      <c r="O15" s="10" t="str">
        <f aca="false">IF(I15="","",I15-3)</f>
        <v/>
      </c>
      <c r="P15" s="10" t="str">
        <f aca="false">IF(J15="","",J15-3)</f>
        <v/>
      </c>
      <c r="Q15" s="9"/>
      <c r="R15" s="9"/>
      <c r="S15" s="9"/>
      <c r="T15" s="9"/>
      <c r="U15" s="9"/>
      <c r="V15" s="9"/>
      <c r="W15" s="11" t="str">
        <f aca="false">IF(OR(Q15="",K15=""),"",Q15-K15)</f>
        <v/>
      </c>
      <c r="X15" s="11" t="str">
        <f aca="false">IF(OR(R15="",L15=""),"",R15-L15)</f>
        <v/>
      </c>
      <c r="Y15" s="11" t="str">
        <f aca="false">IF(OR(S15="",M15=""),"",S15-M15)</f>
        <v/>
      </c>
      <c r="Z15" s="11" t="str">
        <f aca="false">IF(OR(T15="",N15=""),"",T15-N15)</f>
        <v/>
      </c>
      <c r="AA15" s="11" t="str">
        <f aca="false">IF(OR(U15="",O15=""),"",U15-O15)</f>
        <v/>
      </c>
      <c r="AB15" s="11" t="str">
        <f aca="false">IF(OR(V15="",P15=""),"",V15-P15)</f>
        <v/>
      </c>
      <c r="AC15" s="9"/>
    </row>
    <row r="16" customFormat="false" ht="15" hidden="false" customHeight="false" outlineLevel="0" collapsed="false">
      <c r="A16" s="9"/>
      <c r="B16" s="9"/>
      <c r="C16" s="9"/>
      <c r="D16" s="9"/>
      <c r="E16" s="9"/>
      <c r="F16" s="9"/>
      <c r="G16" s="9"/>
      <c r="H16" s="9"/>
      <c r="I16" s="9"/>
      <c r="J16" s="9"/>
      <c r="K16" s="10" t="str">
        <f aca="false">IF(E16="","",E16-3)</f>
        <v/>
      </c>
      <c r="L16" s="10" t="str">
        <f aca="false">IF(F16="","",F16-3)</f>
        <v/>
      </c>
      <c r="M16" s="10" t="str">
        <f aca="false">IF(G16="","",G16-3)</f>
        <v/>
      </c>
      <c r="N16" s="10" t="str">
        <f aca="false">IF(H16="","",H16-3)</f>
        <v/>
      </c>
      <c r="O16" s="10" t="str">
        <f aca="false">IF(I16="","",I16-3)</f>
        <v/>
      </c>
      <c r="P16" s="10" t="str">
        <f aca="false">IF(J16="","",J16-3)</f>
        <v/>
      </c>
      <c r="Q16" s="9"/>
      <c r="R16" s="9"/>
      <c r="S16" s="9"/>
      <c r="T16" s="9"/>
      <c r="U16" s="9"/>
      <c r="V16" s="9"/>
      <c r="W16" s="11" t="str">
        <f aca="false">IF(OR(Q16="",K16=""),"",Q16-K16)</f>
        <v/>
      </c>
      <c r="X16" s="11" t="str">
        <f aca="false">IF(OR(R16="",L16=""),"",R16-L16)</f>
        <v/>
      </c>
      <c r="Y16" s="11" t="str">
        <f aca="false">IF(OR(S16="",M16=""),"",S16-M16)</f>
        <v/>
      </c>
      <c r="Z16" s="11" t="str">
        <f aca="false">IF(OR(T16="",N16=""),"",T16-N16)</f>
        <v/>
      </c>
      <c r="AA16" s="11" t="str">
        <f aca="false">IF(OR(U16="",O16=""),"",U16-O16)</f>
        <v/>
      </c>
      <c r="AB16" s="11" t="str">
        <f aca="false">IF(OR(V16="",P16=""),"",V16-P16)</f>
        <v/>
      </c>
      <c r="AC16" s="9"/>
    </row>
    <row r="17" customFormat="false" ht="15" hidden="false" customHeight="false" outlineLevel="0" collapsed="false">
      <c r="A17" s="9"/>
      <c r="B17" s="9"/>
      <c r="C17" s="9"/>
      <c r="D17" s="9"/>
      <c r="E17" s="9"/>
      <c r="F17" s="9"/>
      <c r="G17" s="9"/>
      <c r="H17" s="9"/>
      <c r="I17" s="9"/>
      <c r="J17" s="9"/>
      <c r="K17" s="10" t="str">
        <f aca="false">IF(E17="","",E17-3)</f>
        <v/>
      </c>
      <c r="L17" s="10" t="str">
        <f aca="false">IF(F17="","",F17-3)</f>
        <v/>
      </c>
      <c r="M17" s="10" t="str">
        <f aca="false">IF(G17="","",G17-3)</f>
        <v/>
      </c>
      <c r="N17" s="10" t="str">
        <f aca="false">IF(H17="","",H17-3)</f>
        <v/>
      </c>
      <c r="O17" s="10" t="str">
        <f aca="false">IF(I17="","",I17-3)</f>
        <v/>
      </c>
      <c r="P17" s="10" t="str">
        <f aca="false">IF(J17="","",J17-3)</f>
        <v/>
      </c>
      <c r="Q17" s="9"/>
      <c r="R17" s="9"/>
      <c r="S17" s="9"/>
      <c r="T17" s="9"/>
      <c r="U17" s="9"/>
      <c r="V17" s="9"/>
      <c r="W17" s="11" t="str">
        <f aca="false">IF(OR(Q17="",K17=""),"",Q17-K17)</f>
        <v/>
      </c>
      <c r="X17" s="11" t="str">
        <f aca="false">IF(OR(R17="",L17=""),"",R17-L17)</f>
        <v/>
      </c>
      <c r="Y17" s="11" t="str">
        <f aca="false">IF(OR(S17="",M17=""),"",S17-M17)</f>
        <v/>
      </c>
      <c r="Z17" s="11" t="str">
        <f aca="false">IF(OR(T17="",N17=""),"",T17-N17)</f>
        <v/>
      </c>
      <c r="AA17" s="11" t="str">
        <f aca="false">IF(OR(U17="",O17=""),"",U17-O17)</f>
        <v/>
      </c>
      <c r="AB17" s="11" t="str">
        <f aca="false">IF(OR(V17="",P17=""),"",V17-P17)</f>
        <v/>
      </c>
      <c r="AC17" s="9"/>
    </row>
    <row r="18" customFormat="false" ht="15" hidden="false" customHeight="false" outlineLevel="0" collapsed="false">
      <c r="A18" s="9"/>
      <c r="B18" s="9"/>
      <c r="C18" s="9"/>
      <c r="D18" s="9"/>
      <c r="E18" s="9"/>
      <c r="F18" s="9"/>
      <c r="G18" s="9"/>
      <c r="H18" s="9"/>
      <c r="I18" s="9"/>
      <c r="J18" s="9"/>
      <c r="K18" s="10" t="str">
        <f aca="false">IF(E18="","",E18-3)</f>
        <v/>
      </c>
      <c r="L18" s="10" t="str">
        <f aca="false">IF(F18="","",F18-3)</f>
        <v/>
      </c>
      <c r="M18" s="10" t="str">
        <f aca="false">IF(G18="","",G18-3)</f>
        <v/>
      </c>
      <c r="N18" s="10" t="str">
        <f aca="false">IF(H18="","",H18-3)</f>
        <v/>
      </c>
      <c r="O18" s="10" t="str">
        <f aca="false">IF(I18="","",I18-3)</f>
        <v/>
      </c>
      <c r="P18" s="10" t="str">
        <f aca="false">IF(J18="","",J18-3)</f>
        <v/>
      </c>
      <c r="Q18" s="9"/>
      <c r="R18" s="9"/>
      <c r="S18" s="9"/>
      <c r="T18" s="9"/>
      <c r="U18" s="9"/>
      <c r="V18" s="9"/>
      <c r="W18" s="11" t="str">
        <f aca="false">IF(OR(Q18="",K18=""),"",Q18-K18)</f>
        <v/>
      </c>
      <c r="X18" s="11" t="str">
        <f aca="false">IF(OR(R18="",L18=""),"",R18-L18)</f>
        <v/>
      </c>
      <c r="Y18" s="11" t="str">
        <f aca="false">IF(OR(S18="",M18=""),"",S18-M18)</f>
        <v/>
      </c>
      <c r="Z18" s="11" t="str">
        <f aca="false">IF(OR(T18="",N18=""),"",T18-N18)</f>
        <v/>
      </c>
      <c r="AA18" s="11" t="str">
        <f aca="false">IF(OR(U18="",O18=""),"",U18-O18)</f>
        <v/>
      </c>
      <c r="AB18" s="11" t="str">
        <f aca="false">IF(OR(V18="",P18=""),"",V18-P18)</f>
        <v/>
      </c>
      <c r="AC18" s="9"/>
    </row>
    <row r="19" customFormat="false" ht="15" hidden="false" customHeight="false" outlineLevel="0" collapsed="false">
      <c r="A19" s="9"/>
      <c r="B19" s="9"/>
      <c r="C19" s="9"/>
      <c r="D19" s="9"/>
      <c r="E19" s="9"/>
      <c r="F19" s="9"/>
      <c r="G19" s="9"/>
      <c r="H19" s="9"/>
      <c r="I19" s="9"/>
      <c r="J19" s="9"/>
      <c r="K19" s="10" t="str">
        <f aca="false">IF(E19="","",E19-3)</f>
        <v/>
      </c>
      <c r="L19" s="10" t="str">
        <f aca="false">IF(F19="","",F19-3)</f>
        <v/>
      </c>
      <c r="M19" s="10" t="str">
        <f aca="false">IF(G19="","",G19-3)</f>
        <v/>
      </c>
      <c r="N19" s="10" t="str">
        <f aca="false">IF(H19="","",H19-3)</f>
        <v/>
      </c>
      <c r="O19" s="10" t="str">
        <f aca="false">IF(I19="","",I19-3)</f>
        <v/>
      </c>
      <c r="P19" s="10" t="str">
        <f aca="false">IF(J19="","",J19-3)</f>
        <v/>
      </c>
      <c r="Q19" s="9"/>
      <c r="R19" s="9"/>
      <c r="S19" s="9"/>
      <c r="T19" s="9"/>
      <c r="U19" s="9"/>
      <c r="V19" s="9"/>
      <c r="W19" s="11" t="str">
        <f aca="false">IF(OR(Q19="",K19=""),"",Q19-K19)</f>
        <v/>
      </c>
      <c r="X19" s="11" t="str">
        <f aca="false">IF(OR(R19="",L19=""),"",R19-L19)</f>
        <v/>
      </c>
      <c r="Y19" s="11" t="str">
        <f aca="false">IF(OR(S19="",M19=""),"",S19-M19)</f>
        <v/>
      </c>
      <c r="Z19" s="11" t="str">
        <f aca="false">IF(OR(T19="",N19=""),"",T19-N19)</f>
        <v/>
      </c>
      <c r="AA19" s="11" t="str">
        <f aca="false">IF(OR(U19="",O19=""),"",U19-O19)</f>
        <v/>
      </c>
      <c r="AB19" s="11" t="str">
        <f aca="false">IF(OR(V19="",P19=""),"",V19-P19)</f>
        <v/>
      </c>
      <c r="AC19" s="9"/>
    </row>
    <row r="20" customFormat="false" ht="15" hidden="false" customHeight="false" outlineLevel="0" collapsed="false">
      <c r="A20" s="9"/>
      <c r="B20" s="9"/>
      <c r="C20" s="9"/>
      <c r="D20" s="9"/>
      <c r="E20" s="9"/>
      <c r="F20" s="9"/>
      <c r="G20" s="9"/>
      <c r="H20" s="9"/>
      <c r="I20" s="9"/>
      <c r="J20" s="9"/>
      <c r="K20" s="10" t="str">
        <f aca="false">IF(E20="","",E20-3)</f>
        <v/>
      </c>
      <c r="L20" s="10" t="str">
        <f aca="false">IF(F20="","",F20-3)</f>
        <v/>
      </c>
      <c r="M20" s="10" t="str">
        <f aca="false">IF(G20="","",G20-3)</f>
        <v/>
      </c>
      <c r="N20" s="10" t="str">
        <f aca="false">IF(H20="","",H20-3)</f>
        <v/>
      </c>
      <c r="O20" s="10" t="str">
        <f aca="false">IF(I20="","",I20-3)</f>
        <v/>
      </c>
      <c r="P20" s="10" t="str">
        <f aca="false">IF(J20="","",J20-3)</f>
        <v/>
      </c>
      <c r="Q20" s="9"/>
      <c r="R20" s="9"/>
      <c r="S20" s="9"/>
      <c r="T20" s="9"/>
      <c r="U20" s="9"/>
      <c r="V20" s="9"/>
      <c r="W20" s="11" t="str">
        <f aca="false">IF(OR(Q20="",K20=""),"",Q20-K20)</f>
        <v/>
      </c>
      <c r="X20" s="11" t="str">
        <f aca="false">IF(OR(R20="",L20=""),"",R20-L20)</f>
        <v/>
      </c>
      <c r="Y20" s="11" t="str">
        <f aca="false">IF(OR(S20="",M20=""),"",S20-M20)</f>
        <v/>
      </c>
      <c r="Z20" s="11" t="str">
        <f aca="false">IF(OR(T20="",N20=""),"",T20-N20)</f>
        <v/>
      </c>
      <c r="AA20" s="11" t="str">
        <f aca="false">IF(OR(U20="",O20=""),"",U20-O20)</f>
        <v/>
      </c>
      <c r="AB20" s="11" t="str">
        <f aca="false">IF(OR(V20="",P20=""),"",V20-P20)</f>
        <v/>
      </c>
      <c r="AC20" s="9"/>
    </row>
    <row r="21" customFormat="false" ht="15" hidden="false" customHeight="false" outlineLevel="0" collapsed="false">
      <c r="A21" s="9"/>
      <c r="B21" s="9"/>
      <c r="C21" s="9"/>
      <c r="D21" s="9"/>
      <c r="E21" s="9"/>
      <c r="F21" s="9"/>
      <c r="G21" s="9"/>
      <c r="H21" s="9"/>
      <c r="I21" s="9"/>
      <c r="J21" s="9"/>
      <c r="K21" s="10" t="str">
        <f aca="false">IF(E21="","",E21-3)</f>
        <v/>
      </c>
      <c r="L21" s="10" t="str">
        <f aca="false">IF(F21="","",F21-3)</f>
        <v/>
      </c>
      <c r="M21" s="10" t="str">
        <f aca="false">IF(G21="","",G21-3)</f>
        <v/>
      </c>
      <c r="N21" s="10" t="str">
        <f aca="false">IF(H21="","",H21-3)</f>
        <v/>
      </c>
      <c r="O21" s="10" t="str">
        <f aca="false">IF(I21="","",I21-3)</f>
        <v/>
      </c>
      <c r="P21" s="10" t="str">
        <f aca="false">IF(J21="","",J21-3)</f>
        <v/>
      </c>
      <c r="Q21" s="9"/>
      <c r="R21" s="9"/>
      <c r="S21" s="9"/>
      <c r="T21" s="9"/>
      <c r="U21" s="9"/>
      <c r="V21" s="9"/>
      <c r="W21" s="11" t="str">
        <f aca="false">IF(OR(Q21="",K21=""),"",Q21-K21)</f>
        <v/>
      </c>
      <c r="X21" s="11" t="str">
        <f aca="false">IF(OR(R21="",L21=""),"",R21-L21)</f>
        <v/>
      </c>
      <c r="Y21" s="11" t="str">
        <f aca="false">IF(OR(S21="",M21=""),"",S21-M21)</f>
        <v/>
      </c>
      <c r="Z21" s="11" t="str">
        <f aca="false">IF(OR(T21="",N21=""),"",T21-N21)</f>
        <v/>
      </c>
      <c r="AA21" s="11" t="str">
        <f aca="false">IF(OR(U21="",O21=""),"",U21-O21)</f>
        <v/>
      </c>
      <c r="AB21" s="11" t="str">
        <f aca="false">IF(OR(V21="",P21=""),"",V21-P21)</f>
        <v/>
      </c>
      <c r="AC21" s="9"/>
    </row>
    <row r="22" customFormat="false" ht="15" hidden="false" customHeight="false" outlineLevel="0" collapsed="false">
      <c r="A22" s="9"/>
      <c r="B22" s="9"/>
      <c r="C22" s="9"/>
      <c r="D22" s="9"/>
      <c r="E22" s="9"/>
      <c r="F22" s="9"/>
      <c r="G22" s="9"/>
      <c r="H22" s="9"/>
      <c r="I22" s="9"/>
      <c r="J22" s="9"/>
      <c r="K22" s="10" t="str">
        <f aca="false">IF(E22="","",E22-3)</f>
        <v/>
      </c>
      <c r="L22" s="10" t="str">
        <f aca="false">IF(F22="","",F22-3)</f>
        <v/>
      </c>
      <c r="M22" s="10" t="str">
        <f aca="false">IF(G22="","",G22-3)</f>
        <v/>
      </c>
      <c r="N22" s="10" t="str">
        <f aca="false">IF(H22="","",H22-3)</f>
        <v/>
      </c>
      <c r="O22" s="10" t="str">
        <f aca="false">IF(I22="","",I22-3)</f>
        <v/>
      </c>
      <c r="P22" s="10" t="str">
        <f aca="false">IF(J22="","",J22-3)</f>
        <v/>
      </c>
      <c r="Q22" s="9"/>
      <c r="R22" s="9"/>
      <c r="S22" s="9"/>
      <c r="T22" s="9"/>
      <c r="U22" s="9"/>
      <c r="V22" s="9"/>
      <c r="W22" s="11" t="str">
        <f aca="false">IF(OR(Q22="",K22=""),"",Q22-K22)</f>
        <v/>
      </c>
      <c r="X22" s="11" t="str">
        <f aca="false">IF(OR(R22="",L22=""),"",R22-L22)</f>
        <v/>
      </c>
      <c r="Y22" s="11" t="str">
        <f aca="false">IF(OR(S22="",M22=""),"",S22-M22)</f>
        <v/>
      </c>
      <c r="Z22" s="11" t="str">
        <f aca="false">IF(OR(T22="",N22=""),"",T22-N22)</f>
        <v/>
      </c>
      <c r="AA22" s="11" t="str">
        <f aca="false">IF(OR(U22="",O22=""),"",U22-O22)</f>
        <v/>
      </c>
      <c r="AB22" s="11" t="str">
        <f aca="false">IF(OR(V22="",P22=""),"",V22-P22)</f>
        <v/>
      </c>
      <c r="AC22"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7.35" hidden="false" customHeight="false" outlineLevel="0" collapsed="false">
      <c r="A1" s="12" t="s">
        <v>59</v>
      </c>
    </row>
    <row r="2" customFormat="false" ht="15" hidden="false" customHeight="false" outlineLevel="0" collapsed="false">
      <c r="A2" s="2" t="s">
        <v>60</v>
      </c>
    </row>
    <row r="4" customFormat="false" ht="15" hidden="false" customHeight="false" outlineLevel="0" collapsed="false">
      <c r="A4" s="13" t="s">
        <v>61</v>
      </c>
      <c r="B4" s="14" t="n">
        <f aca="false">COUNTIFS('Respondent Log'!A3:A22,"&lt;&gt;",'Respondent Log'!C3:C22,"Y")</f>
        <v>6</v>
      </c>
    </row>
    <row r="6" customFormat="false" ht="23.85" hidden="false" customHeight="false" outlineLevel="0" collapsed="false">
      <c r="A6" s="15" t="s">
        <v>62</v>
      </c>
      <c r="B6" s="15" t="s">
        <v>63</v>
      </c>
      <c r="C6" s="15" t="s">
        <v>64</v>
      </c>
      <c r="D6" s="15" t="s">
        <v>65</v>
      </c>
      <c r="E6" s="15" t="s">
        <v>66</v>
      </c>
      <c r="F6" s="15" t="s">
        <v>67</v>
      </c>
      <c r="G6" s="15" t="s">
        <v>68</v>
      </c>
    </row>
    <row r="7" customFormat="false" ht="15" hidden="false" customHeight="false" outlineLevel="0" collapsed="false">
      <c r="A7" s="16" t="s">
        <v>69</v>
      </c>
      <c r="B7" s="17" t="n">
        <f aca="false">IFERROR(AVERAGE('Respondent Log'!W3:W22),"")</f>
        <v>-0.35</v>
      </c>
      <c r="C7" s="18" t="n">
        <f aca="false">IFERROR(SUMPRODUCT(ABS(N('Respondent Log'!W3:W22)))/COUNT('Respondent Log'!W3:W22),"")</f>
        <v>1.736667</v>
      </c>
      <c r="D7" s="18" t="n">
        <f aca="false">IFERROR(MAX(ABS(MIN('Respondent Log'!W3:W22)),ABS(MAX('Respondent Log'!W3:W22))),"")</f>
        <v>2.2</v>
      </c>
      <c r="E7" s="19" t="n">
        <f aca="false">SUMPRODUCT(('Respondent Log'!W3:W22&lt;&gt;"")*(SIGN(N('Respondent Log'!K3:K22))&lt;&gt;SIGN(N('Respondent Log'!Q3:Q22)))*(N('Respondent Log'!K3:K22)&lt;&gt;0))</f>
        <v>3</v>
      </c>
      <c r="F7" s="19" t="n">
        <f aca="false">COUNT('Respondent Log'!W3:W22)</f>
        <v>6</v>
      </c>
      <c r="G7" s="19" t="str">
        <f aca="false">IF(F7=0,"",IF(OR(C7&gt;0.5,E7/MAX(F7,1)&gt;0.4),"REVIEW","ok"))</f>
        <v>REVIEW</v>
      </c>
    </row>
    <row r="8" customFormat="false" ht="15" hidden="false" customHeight="false" outlineLevel="0" collapsed="false">
      <c r="A8" s="16" t="s">
        <v>70</v>
      </c>
      <c r="B8" s="17" t="n">
        <f aca="false">IFERROR(AVERAGE('Respondent Log'!X3:X22),"")</f>
        <v>0.225</v>
      </c>
      <c r="C8" s="18" t="n">
        <f aca="false">IFERROR(SUMPRODUCT(ABS(N('Respondent Log'!X3:X22)))/COUNT('Respondent Log'!X3:X22),"")</f>
        <v>0.828333</v>
      </c>
      <c r="D8" s="18" t="n">
        <f aca="false">IFERROR(MAX(ABS(MIN('Respondent Log'!X3:X22)),ABS(MAX('Respondent Log'!X3:X22))),"")</f>
        <v>1.9</v>
      </c>
      <c r="E8" s="19" t="n">
        <f aca="false">SUMPRODUCT(('Respondent Log'!X3:X22&lt;&gt;"")*(SIGN(N('Respondent Log'!L3:L22))&lt;&gt;SIGN(N('Respondent Log'!R3:R22)))*(N('Respondent Log'!L3:L22)&lt;&gt;0))</f>
        <v>1</v>
      </c>
      <c r="F8" s="19" t="n">
        <f aca="false">COUNT('Respondent Log'!X3:X22)</f>
        <v>6</v>
      </c>
      <c r="G8" s="19" t="str">
        <f aca="false">IF(F8=0,"",IF(OR(C8&gt;0.5,E8/MAX(F8,1)&gt;0.4),"REVIEW","ok"))</f>
        <v>REVIEW</v>
      </c>
    </row>
    <row r="9" customFormat="false" ht="15" hidden="false" customHeight="false" outlineLevel="0" collapsed="false">
      <c r="A9" s="16" t="s">
        <v>71</v>
      </c>
      <c r="B9" s="17" t="n">
        <f aca="false">IFERROR(AVERAGE('Respondent Log'!Y3:Y22),"")</f>
        <v>-0.688333</v>
      </c>
      <c r="C9" s="18" t="n">
        <f aca="false">IFERROR(SUMPRODUCT(ABS(N('Respondent Log'!Y3:Y22)))/COUNT('Respondent Log'!Y3:Y22),"")</f>
        <v>1.428333</v>
      </c>
      <c r="D9" s="18" t="n">
        <f aca="false">IFERROR(MAX(ABS(MIN('Respondent Log'!Y3:Y22)),ABS(MAX('Respondent Log'!Y3:Y22))),"")</f>
        <v>2.15</v>
      </c>
      <c r="E9" s="19" t="n">
        <f aca="false">SUMPRODUCT(('Respondent Log'!Y3:Y22&lt;&gt;"")*(SIGN(N('Respondent Log'!M3:M22))&lt;&gt;SIGN(N('Respondent Log'!S3:S22)))*(N('Respondent Log'!M3:M22)&lt;&gt;0))</f>
        <v>2</v>
      </c>
      <c r="F9" s="19" t="n">
        <f aca="false">COUNT('Respondent Log'!Y3:Y22)</f>
        <v>6</v>
      </c>
      <c r="G9" s="19" t="str">
        <f aca="false">IF(F9=0,"",IF(OR(C9&gt;0.5,E9/MAX(F9,1)&gt;0.4),"REVIEW","ok"))</f>
        <v>REVIEW</v>
      </c>
    </row>
    <row r="10" customFormat="false" ht="15" hidden="false" customHeight="false" outlineLevel="0" collapsed="false">
      <c r="A10" s="16" t="s">
        <v>72</v>
      </c>
      <c r="B10" s="17" t="n">
        <f aca="false">IFERROR(AVERAGE('Respondent Log'!Z3:Z22),"")</f>
        <v>-0.628333</v>
      </c>
      <c r="C10" s="18" t="n">
        <f aca="false">IFERROR(SUMPRODUCT(ABS(N('Respondent Log'!Z3:Z22)))/COUNT('Respondent Log'!Z3:Z22),"")</f>
        <v>1.031667</v>
      </c>
      <c r="D10" s="18" t="n">
        <f aca="false">IFERROR(MAX(ABS(MIN('Respondent Log'!Z3:Z22)),ABS(MAX('Respondent Log'!Z3:Z22))),"")</f>
        <v>2.14</v>
      </c>
      <c r="E10" s="19" t="n">
        <f aca="false">SUMPRODUCT(('Respondent Log'!Z3:Z22&lt;&gt;"")*(SIGN(N('Respondent Log'!N3:N22))&lt;&gt;SIGN(N('Respondent Log'!T3:T22)))*(N('Respondent Log'!N3:N22)&lt;&gt;0))</f>
        <v>2</v>
      </c>
      <c r="F10" s="19" t="n">
        <f aca="false">COUNT('Respondent Log'!Z3:Z22)</f>
        <v>6</v>
      </c>
      <c r="G10" s="19" t="str">
        <f aca="false">IF(F10=0,"",IF(OR(C10&gt;0.5,E10/MAX(F10,1)&gt;0.4),"REVIEW","ok"))</f>
        <v>REVIEW</v>
      </c>
    </row>
    <row r="11" customFormat="false" ht="15" hidden="false" customHeight="false" outlineLevel="0" collapsed="false">
      <c r="A11" s="16" t="s">
        <v>73</v>
      </c>
      <c r="B11" s="17" t="n">
        <f aca="false">IFERROR(AVERAGE('Respondent Log'!AA3:AA22),"")</f>
        <v>-0.228333</v>
      </c>
      <c r="C11" s="18" t="n">
        <f aca="false">IFERROR(SUMPRODUCT(ABS(N('Respondent Log'!AA3:AA22)))/COUNT('Respondent Log'!AA3:AA22),"")</f>
        <v>0.965</v>
      </c>
      <c r="D11" s="18" t="n">
        <f aca="false">IFERROR(MAX(ABS(MIN('Respondent Log'!AA3:AA22)),ABS(MAX('Respondent Log'!AA3:AA22))),"")</f>
        <v>2.1</v>
      </c>
      <c r="E11" s="19" t="n">
        <f aca="false">SUMPRODUCT(('Respondent Log'!AA3:AA22&lt;&gt;"")*(SIGN(N('Respondent Log'!O3:O22))&lt;&gt;SIGN(N('Respondent Log'!U3:U22)))*(N('Respondent Log'!O3:O22)&lt;&gt;0))</f>
        <v>2</v>
      </c>
      <c r="F11" s="19" t="n">
        <f aca="false">COUNT('Respondent Log'!AA3:AA22)</f>
        <v>6</v>
      </c>
      <c r="G11" s="19" t="str">
        <f aca="false">IF(F11=0,"",IF(OR(C11&gt;0.5,E11/MAX(F11,1)&gt;0.4),"REVIEW","ok"))</f>
        <v>REVIEW</v>
      </c>
    </row>
    <row r="12" customFormat="false" ht="15" hidden="false" customHeight="false" outlineLevel="0" collapsed="false">
      <c r="A12" s="16" t="s">
        <v>74</v>
      </c>
      <c r="B12" s="17" t="n">
        <f aca="false">IFERROR(AVERAGE('Respondent Log'!AB3:AB22),"")</f>
        <v>-0.063333</v>
      </c>
      <c r="C12" s="18" t="n">
        <f aca="false">IFERROR(SUMPRODUCT(ABS(N('Respondent Log'!AB3:AB22)))/COUNT('Respondent Log'!AB3:AB22),"")</f>
        <v>0.67</v>
      </c>
      <c r="D12" s="18" t="n">
        <f aca="false">IFERROR(MAX(ABS(MIN('Respondent Log'!AB3:AB22)),ABS(MAX('Respondent Log'!AB3:AB22))),"")</f>
        <v>1.89</v>
      </c>
      <c r="E12" s="19" t="n">
        <f aca="false">SUMPRODUCT(('Respondent Log'!AB3:AB22&lt;&gt;"")*(SIGN(N('Respondent Log'!P3:P22))&lt;&gt;SIGN(N('Respondent Log'!V3:V22)))*(N('Respondent Log'!P3:P22)&lt;&gt;0))</f>
        <v>0</v>
      </c>
      <c r="F12" s="19" t="n">
        <f aca="false">COUNT('Respondent Log'!AB3:AB22)</f>
        <v>6</v>
      </c>
      <c r="G12" s="19" t="str">
        <f aca="false">IF(F12=0,"",IF(OR(C12&gt;0.5,E12/MAX(F12,1)&gt;0.4),"REVIEW","ok"))</f>
        <v>REVIEW</v>
      </c>
    </row>
    <row r="14" customFormat="false" ht="54.75" hidden="false" customHeight="true" outlineLevel="0" collapsed="false">
      <c r="A14" s="20" t="s">
        <v>75</v>
      </c>
      <c r="B14" s="20"/>
      <c r="C14" s="20"/>
      <c r="D14" s="20"/>
      <c r="E14" s="20"/>
      <c r="F14" s="20"/>
      <c r="G14" s="20"/>
    </row>
    <row r="15" customFormat="false" ht="39.75" hidden="false" customHeight="true" outlineLevel="0" collapsed="false">
      <c r="A15" s="20" t="s">
        <v>76</v>
      </c>
      <c r="B15" s="20"/>
      <c r="C15" s="20"/>
      <c r="D15" s="20"/>
      <c r="E15" s="20"/>
      <c r="F15" s="20"/>
      <c r="G15" s="20"/>
    </row>
  </sheetData>
  <mergeCells count="2">
    <mergeCell ref="A14:G14"/>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2026-07-16T04:36:15Z</dcterms:created>
  <dc:creator>openpyxl</dc:creator>
  <dc:description/>
  <dc:language>en-US</dc:language>
  <cp:lastModifiedBy/>
  <dcterms:modified xsi:type="dcterms:W3CDTF">2026-07-16T04:37:42Z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